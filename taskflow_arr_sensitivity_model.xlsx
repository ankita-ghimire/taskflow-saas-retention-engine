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kitaghimire/Downloads/"/>
    </mc:Choice>
  </mc:AlternateContent>
  <xr:revisionPtr revIDLastSave="0" documentId="13_ncr:1_{76400A29-C206-8549-A1E1-D5D1873E8837}" xr6:coauthVersionLast="47" xr6:coauthVersionMax="47" xr10:uidLastSave="{00000000-0000-0000-0000-000000000000}"/>
  <bookViews>
    <workbookView xWindow="0" yWindow="740" windowWidth="29400" windowHeight="18380" xr2:uid="{30E97935-BCC0-B04D-BAAB-42C5794010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C19" i="1" s="1"/>
  <c r="C13" i="1"/>
  <c r="C14" i="1" s="1"/>
  <c r="C20" i="1" l="1"/>
</calcChain>
</file>

<file path=xl/sharedStrings.xml><?xml version="1.0" encoding="utf-8"?>
<sst xmlns="http://schemas.openxmlformats.org/spreadsheetml/2006/main" count="19" uniqueCount="19">
  <si>
    <t>Monthly New Signups</t>
  </si>
  <si>
    <t>Average Monthly Plan Price (ARPU)</t>
  </si>
  <si>
    <t>Solo Conversion Rate</t>
  </si>
  <si>
    <t>Team Inviter Conversion Rate</t>
  </si>
  <si>
    <t>Current % Who Invite Teammates</t>
  </si>
  <si>
    <t>Current Monthly New Customers</t>
  </si>
  <si>
    <t>Current Annual Recurring Revenue (ARR)</t>
  </si>
  <si>
    <t>Value / Formula</t>
  </si>
  <si>
    <t>Label</t>
  </si>
  <si>
    <t>1,000</t>
  </si>
  <si>
    <t>Target % Who Invite Teammates</t>
  </si>
  <si>
    <t>Projected Monthly New Customers</t>
  </si>
  <si>
    <t>Projected Annual Recurring Revenue (ARR)</t>
  </si>
  <si>
    <t>Net New ARR Added (The Annual Impact!)</t>
  </si>
  <si>
    <t>TaskFlow — ARR Onboarding Sensitivity Model</t>
  </si>
  <si>
    <t>Scenario: Lifting Teammate Invites from 15% to 35%</t>
  </si>
  <si>
    <t>1. Baseline Model Assumptions</t>
  </si>
  <si>
    <t>2. Current Baseline Performance</t>
  </si>
  <si>
    <t>3. Projected Optimization Scenario.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</si>
</sst>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0.0%"/>
    <numFmt numFmtId="172" formatCode="[$$-409]#,##0.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6"/>
      <color theme="3" tint="0.249977111117893"/>
      <name val="Aptos Narrow (Body)"/>
    </font>
    <font>
      <i/>
      <sz val="11"/>
      <color theme="2" tint="-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NumberFormat="1" applyFont="1"/>
    <xf numFmtId="0" fontId="0" fillId="0" borderId="0" xfId="0" applyAlignment="1">
      <alignment horizontal="right"/>
    </xf>
    <xf numFmtId="1" fontId="0" fillId="0" borderId="0" xfId="0" applyNumberFormat="1"/>
    <xf numFmtId="1" fontId="0" fillId="0" borderId="0" xfId="0" applyNumberFormat="1" applyAlignment="1">
      <alignment horizontal="right"/>
    </xf>
    <xf numFmtId="171" fontId="0" fillId="0" borderId="0" xfId="0" applyNumberFormat="1" applyAlignment="1">
      <alignment horizontal="right"/>
    </xf>
    <xf numFmtId="171" fontId="0" fillId="0" borderId="0" xfId="0" applyNumberFormat="1"/>
    <xf numFmtId="172" fontId="0" fillId="0" borderId="0" xfId="0" applyNumberFormat="1" applyAlignment="1">
      <alignment horizontal="right"/>
    </xf>
    <xf numFmtId="172" fontId="0" fillId="0" borderId="0" xfId="0" applyNumberFormat="1"/>
    <xf numFmtId="0" fontId="5" fillId="0" borderId="0" xfId="0" applyFont="1"/>
    <xf numFmtId="0" fontId="6" fillId="0" borderId="0" xfId="0" applyFont="1"/>
    <xf numFmtId="0" fontId="3" fillId="2" borderId="0" xfId="0" applyFont="1" applyFill="1"/>
    <xf numFmtId="172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0C785-C8DD-BC46-9472-35A63C566546}">
  <dimension ref="B1:D20"/>
  <sheetViews>
    <sheetView tabSelected="1" zoomScale="150" workbookViewId="0">
      <selection activeCell="D9" sqref="D9"/>
    </sheetView>
  </sheetViews>
  <sheetFormatPr baseColWidth="10" defaultRowHeight="16" x14ac:dyDescent="0.2"/>
  <cols>
    <col min="2" max="2" width="57.33203125" customWidth="1"/>
    <col min="3" max="3" width="20.5" customWidth="1"/>
    <col min="4" max="4" width="29.83203125" customWidth="1"/>
  </cols>
  <sheetData>
    <row r="1" spans="2:4" ht="22" x14ac:dyDescent="0.3">
      <c r="B1" s="11" t="s">
        <v>14</v>
      </c>
      <c r="D1" s="3"/>
    </row>
    <row r="2" spans="2:4" x14ac:dyDescent="0.2">
      <c r="B2" s="12" t="s">
        <v>15</v>
      </c>
    </row>
    <row r="4" spans="2:4" ht="22" x14ac:dyDescent="0.3">
      <c r="B4" s="3" t="s">
        <v>8</v>
      </c>
      <c r="C4" s="3" t="s">
        <v>7</v>
      </c>
    </row>
    <row r="5" spans="2:4" x14ac:dyDescent="0.2">
      <c r="B5" s="2" t="s">
        <v>16</v>
      </c>
    </row>
    <row r="6" spans="2:4" x14ac:dyDescent="0.2">
      <c r="B6" s="2" t="s">
        <v>0</v>
      </c>
      <c r="C6" s="4" t="s">
        <v>9</v>
      </c>
    </row>
    <row r="7" spans="2:4" x14ac:dyDescent="0.2">
      <c r="B7" s="2" t="s">
        <v>1</v>
      </c>
      <c r="C7" s="9">
        <v>40</v>
      </c>
    </row>
    <row r="8" spans="2:4" x14ac:dyDescent="0.2">
      <c r="B8" s="2" t="s">
        <v>2</v>
      </c>
      <c r="C8" s="7">
        <v>5.2999999999999999E-2</v>
      </c>
    </row>
    <row r="9" spans="2:4" x14ac:dyDescent="0.2">
      <c r="B9" s="2" t="s">
        <v>3</v>
      </c>
      <c r="C9" s="8">
        <v>0.45700000000000002</v>
      </c>
    </row>
    <row r="11" spans="2:4" x14ac:dyDescent="0.2">
      <c r="B11" s="2" t="s">
        <v>17</v>
      </c>
    </row>
    <row r="12" spans="2:4" x14ac:dyDescent="0.2">
      <c r="B12" s="2" t="s">
        <v>4</v>
      </c>
      <c r="C12" s="8">
        <v>0.15</v>
      </c>
    </row>
    <row r="13" spans="2:4" x14ac:dyDescent="0.2">
      <c r="B13" s="2" t="s">
        <v>5</v>
      </c>
      <c r="C13" s="6">
        <f>(C6*C12*C9) + (C6*(1-C12)*C8)</f>
        <v>113.6</v>
      </c>
    </row>
    <row r="14" spans="2:4" x14ac:dyDescent="0.2">
      <c r="B14" s="2" t="s">
        <v>6</v>
      </c>
      <c r="C14" s="9">
        <f>C13*C7*12</f>
        <v>54528</v>
      </c>
    </row>
    <row r="16" spans="2:4" x14ac:dyDescent="0.2">
      <c r="B16" s="2" t="s">
        <v>18</v>
      </c>
    </row>
    <row r="17" spans="2:3" x14ac:dyDescent="0.2">
      <c r="B17" s="1" t="s">
        <v>10</v>
      </c>
      <c r="C17" s="8">
        <v>0.35</v>
      </c>
    </row>
    <row r="18" spans="2:3" x14ac:dyDescent="0.2">
      <c r="B18" s="1" t="s">
        <v>11</v>
      </c>
      <c r="C18" s="5">
        <f>(C6*C17*C9) + (C6*(1-C17)*C8)</f>
        <v>194.4</v>
      </c>
    </row>
    <row r="19" spans="2:3" x14ac:dyDescent="0.2">
      <c r="B19" s="1" t="s">
        <v>12</v>
      </c>
      <c r="C19" s="10">
        <f>C18 * C7 * 12</f>
        <v>93312</v>
      </c>
    </row>
    <row r="20" spans="2:3" ht="19" x14ac:dyDescent="0.25">
      <c r="B20" s="13" t="s">
        <v>13</v>
      </c>
      <c r="C20" s="14">
        <f>C19-C14</f>
        <v>38784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Ghimire</dc:creator>
  <cp:lastModifiedBy>Ankita Ghimire</cp:lastModifiedBy>
  <dcterms:created xsi:type="dcterms:W3CDTF">2026-10-28T02:44:49Z</dcterms:created>
  <dcterms:modified xsi:type="dcterms:W3CDTF">2026-10-28T04:01:48Z</dcterms:modified>
</cp:coreProperties>
</file>